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49284545-9816-4425-8035-CCADEC6B4AF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ask_1" sheetId="5" r:id="rId1"/>
    <sheet name="Task_2" sheetId="2" r:id="rId2"/>
    <sheet name="Sheet3" sheetId="3" r:id="rId3"/>
    <sheet name="Sheet2" sheetId="6" r:id="rId4"/>
  </sheets>
  <calcPr calcId="191029"/>
</workbook>
</file>

<file path=xl/calcChain.xml><?xml version="1.0" encoding="utf-8"?>
<calcChain xmlns="http://schemas.openxmlformats.org/spreadsheetml/2006/main">
  <c r="F43" i="5" l="1"/>
  <c r="H43" i="2"/>
  <c r="E34" i="3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<sst xmlns="http://schemas.openxmlformats.org/spreadsheetml/2006/main" count="492" uniqueCount="128">
  <si>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</si>
  <si>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</si>
  <si>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</si>
  <si>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</si>
  <si>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</si>
  <si>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</si>
  <si>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</si>
  <si>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</si>
  <si>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</si>
  <si>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</si>
  <si>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</si>
  <si>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</si>
  <si>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</si>
  <si>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</si>
  <si>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</si>
  <si>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</si>
  <si>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</si>
  <si>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</si>
  <si>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</si>
  <si>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</si>
  <si>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</si>
  <si>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</si>
  <si>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</si>
  <si>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</si>
  <si>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</si>
  <si>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</si>
  <si>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</si>
  <si>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</si>
  <si>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</si>
  <si>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</si>
  <si>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</si>
  <si>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</si>
  <si>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</si>
  <si>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</si>
  <si>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</si>
  <si>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</si>
  <si>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</si>
  <si>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</si>
  <si>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</si>
  <si>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</si>
  <si>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</si>
  <si>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</si>
  <si>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</si>
  <si>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</si>
  <si>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</si>
  <si>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</si>
  <si>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</si>
  <si>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</si>
  <si>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</si>
  <si>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</si>
  <si>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</si>
  <si>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</si>
  <si>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</si>
  <si>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</si>
  <si>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</si>
  <si>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</si>
  <si>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</si>
  <si>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</si>
  <si>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</si>
  <si>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</si>
  <si>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</si>
  <si>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</si>
  <si>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</si>
  <si>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</si>
  <si>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</si>
  <si>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</si>
  <si>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</si>
  <si>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</si>
  <si>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</si>
  <si>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</si>
  <si>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</si>
  <si>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</si>
  <si>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</si>
  <si>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</si>
  <si>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</si>
  <si>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</si>
  <si>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</si>
  <si>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</si>
  <si>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</si>
  <si>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</si>
  <si>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</si>
  <si>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</si>
  <si>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</si>
  <si>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</si>
  <si>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</si>
  <si>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</si>
  <si>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</si>
  <si>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</si>
  <si>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</si>
  <si>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</si>
  <si>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</si>
  <si>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</si>
  <si>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</si>
  <si>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</si>
  <si>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</si>
  <si>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</si>
  <si>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</si>
  <si>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</si>
  <si>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</si>
  <si>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</si>
  <si>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</si>
  <si>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</si>
  <si>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</si>
  <si>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</si>
  <si>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</si>
  <si>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</si>
  <si>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</si>
  <si>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</si>
  <si>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</si>
  <si>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</si>
  <si>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</si>
  <si>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</si>
  <si>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</si>
  <si>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</si>
  <si>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</si>
  <si>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</si>
  <si>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</si>
  <si>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</si>
  <si>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</si>
  <si>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</si>
  <si>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</si>
  <si>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</si>
  <si>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Avg_quantity</t>
  </si>
  <si>
    <t xml:space="preserve">Ans : Step 1 : Select the range on which you are going to apply condition (Column D). 
Step 2 : Go to Conditional Formatting and choose Highlight Cells Rules. 
Step 3 : Then select Greater than and assign value as 149 because the condition given is "values greater than or equal to 150".
Step 4 : The answer is highlighted in green color with dark green color of text. </t>
  </si>
  <si>
    <t xml:space="preserve">Ans : 
Step 1 : Select the range on which you want to apply the condition that is Column C. 
Step 2 : Go to Conditional Formatting and select the New Rule. 
Step 3 : Then choose the last option in the box. And Type the formula =AND(C2&gt;=DATE(2024,1,1),C9&lt;=DATE(2024,1,31)) in the blank box. 
Step 4 : Click on the format button and choose the color accordingly and click on OK.( The ans are highlighted in yellow color).   </t>
  </si>
  <si>
    <t xml:space="preserve">Ans : Step 1 : Select the range on which you are going to apply condition (Column D). 
Step 2 : Go to Conditional Formatting and choose Top/Bottoms Rules. 
Step 3 : Then select Top 10 Items and assign value as 3  because the condition given is "top 3 sales values".
Step 4 : The answer is highlighted in red color with dark red color of text. </t>
  </si>
  <si>
    <t xml:space="preserve">Ans : 
Step 1 : Select the range on which you want to apply the condition that is Column D. 
Step 2 : Go to Conditional Formatting and select the New Rule. 
Step 3 : Then choose the last option in the box. And Type the formula =AND($A2="Product B",$B2="North") in the blank box. 
Step 4 : Click on the format button and choose the color accordingly and click on OK.( The ans are highlighted in brown color).   </t>
  </si>
  <si>
    <t xml:space="preserve">Ans :   
Step 1 : Select the range on which you want to apply the condition that is from A2 to D9. 
Step 2 : Go to Conditional Formatting and select the New Rule. 
Step 3 : Then choose the last option in the box. And Type the formula =$A2="Product A" in the blank box. 
Step 4 : Click on the format button and choose the color accordingly and click on OK.( The ans are highlighted in dark blue color).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</si>
</sst>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8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22" fontId="0" fillId="0" borderId="7" xfId="0" applyNumberForma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1" fillId="5" borderId="0" xfId="0" applyFont="1" applyFill="1" applyAlignment="1">
      <alignment horizontal="left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1" fillId="5" borderId="0" xfId="0" applyFont="1" applyFill="1"/>
    <xf numFmtId="0" fontId="12" fillId="5" borderId="0" xfId="0" applyFont="1" applyFill="1"/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ont>
        <color theme="8" tint="-0.24994659260841701"/>
      </font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2"/>
      </font>
      <fill>
        <patternFill>
          <bgColor theme="3" tint="0.499984740745262"/>
        </patternFill>
      </fill>
    </dxf>
    <dxf>
      <font>
        <color theme="1"/>
      </font>
      <fill>
        <patternFill>
          <bgColor theme="2" tint="-0.1499679555650502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7" tint="-0.24994659260841701"/>
        </patternFill>
      </fill>
    </dxf>
    <dxf>
      <font>
        <color theme="2" tint="-4.9989318521683403E-2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2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387457</xdr:colOff>
      <xdr:row>0</xdr:row>
      <xdr:rowOff>142068</xdr:rowOff>
    </xdr:from>
    <xdr:ext cx="17793386" cy="65812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8F6CDF-E7E1-4F3E-1E61-824661A2ECCD}"/>
            </a:ext>
          </a:extLst>
        </xdr:cNvPr>
        <xdr:cNvSpPr txBox="1"/>
      </xdr:nvSpPr>
      <xdr:spPr>
        <a:xfrm>
          <a:off x="9090926" y="142068"/>
          <a:ext cx="17793386" cy="6581289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Task_1</a:t>
          </a:r>
        </a:p>
        <a:p>
          <a:endParaRPr lang="en-IN" sz="1400" b="1"/>
        </a:p>
        <a:p>
          <a:r>
            <a:rPr lang="en-IN" sz="1400" b="1"/>
            <a:t>1. Highlight all Total_Sales &gt; 500000 in the Total_Sales column.</a:t>
          </a:r>
        </a:p>
        <a:p>
          <a:r>
            <a:rPr lang="en-IN" sz="1400" b="1"/>
            <a:t>   Select</a:t>
          </a:r>
          <a:r>
            <a:rPr lang="en-IN" sz="1400" b="1" baseline="0"/>
            <a:t> Range H2 to H41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Greater Than → 500000 → Red Fill</a:t>
          </a:r>
        </a:p>
        <a:p>
          <a:endParaRPr lang="en-IN" sz="1400" b="1"/>
        </a:p>
        <a:p>
          <a:r>
            <a:rPr lang="en-IN" sz="1400" b="1"/>
            <a:t>2. Apply color to Unit_Price &lt; 10000.</a:t>
          </a:r>
        </a:p>
        <a:p>
          <a:r>
            <a:rPr lang="en-IN" sz="1400" b="1"/>
            <a:t>   Select Range G2 to G41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Less Than → 10000 → Yellow Fill</a:t>
          </a:r>
        </a:p>
        <a:p>
          <a:endParaRPr lang="en-IN" sz="1400" b="1"/>
        </a:p>
        <a:p>
          <a:r>
            <a:rPr lang="en-IN" sz="1400" b="1"/>
            <a:t>3. Highlight cells in Quantity where value is greater than average.</a:t>
          </a:r>
        </a:p>
        <a:p>
          <a:r>
            <a:rPr lang="en-IN" sz="1400" b="1"/>
            <a:t>   Select Range F2 to F41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Formula → Enter the formula 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/>
            <a:t>=$F2&gt;AVERAGE($F$2:$F$40)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(Light Green) → Click OK.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800" b="1"/>
        </a:p>
        <a:p>
          <a:endParaRPr lang="en-IN" sz="1400" b="1"/>
        </a:p>
        <a:p>
          <a:r>
            <a:rPr lang="en-IN" sz="1400" b="1"/>
            <a:t>4. Apply conditional formatting to show duplicate Order_IDs.</a:t>
          </a:r>
        </a:p>
        <a:p>
          <a:r>
            <a:rPr lang="en-IN" sz="1400" b="1"/>
            <a:t>   Select Range A2</a:t>
          </a:r>
          <a:r>
            <a:rPr lang="en-IN" sz="1400" b="1" baseline="0"/>
            <a:t> to A41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Duplicate Values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Blue Fill</a:t>
          </a:r>
          <a:endParaRPr lang="en-IN" sz="1800" b="1"/>
        </a:p>
        <a:p>
          <a:endParaRPr lang="en-IN" sz="1400" b="1"/>
        </a:p>
        <a:p>
          <a:r>
            <a:rPr lang="en-IN" sz="1400" b="1"/>
            <a:t>5. Highlight blank cells in the Salesperson column.</a:t>
          </a:r>
        </a:p>
        <a:p>
          <a:r>
            <a:rPr lang="en-IN" sz="1400" b="1"/>
            <a:t>   Select Range I2 to I41</a:t>
          </a:r>
          <a:r>
            <a:rPr lang="en-IN" sz="1400" b="1" baseline="0"/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New Rule → Format only cells that contain → Blanks → Choose Color (Dark Grey Fill) → OK</a:t>
          </a:r>
        </a:p>
        <a:p>
          <a:endParaRPr lang="en-IN" sz="1400" b="1"/>
        </a:p>
        <a:p>
          <a:r>
            <a:rPr lang="en-IN" sz="1400" b="1"/>
            <a:t>6. Apply formatting if Product contains the word "Laptop".</a:t>
          </a:r>
        </a:p>
        <a:p>
          <a:r>
            <a:rPr lang="en-IN" sz="1400" b="1"/>
            <a:t>   Select Range E2 to E41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 Rule → Use Formula → Enter the formula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=$E2="Laptop</a:t>
          </a:r>
          <a:r>
            <a:rPr lang="en-IN" sz="1800" b="1"/>
            <a:t>"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OK</a:t>
          </a:r>
          <a:endParaRPr lang="en-IN" sz="1400" b="1"/>
        </a:p>
        <a:p>
          <a:endParaRPr lang="en-IN" sz="1400" b="1"/>
        </a:p>
        <a:p>
          <a:r>
            <a:rPr lang="en-IN" sz="1400" b="1"/>
            <a:t>7. Highlight top 10 highest values in Total_Sales.</a:t>
          </a:r>
        </a:p>
        <a:p>
          <a:r>
            <a:rPr lang="en-IN" sz="1400" b="1"/>
            <a:t>  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Top/Bottom Rules → Top 10 Items → Dark Green Fill</a:t>
          </a:r>
        </a:p>
        <a:p>
          <a:endParaRPr lang="en-IN" sz="1400" b="1"/>
        </a:p>
        <a:p>
          <a:r>
            <a:rPr lang="en-IN" sz="1400" b="1"/>
            <a:t>8. Apply color scale (gradient) on Total_Sales.</a:t>
          </a:r>
        </a:p>
        <a:p>
          <a:r>
            <a:rPr lang="en-IN" sz="1400" b="1"/>
            <a:t>  </a:t>
          </a:r>
          <a:r>
            <a:rPr lang="en-IN" sz="1400" b="1" baseline="0"/>
            <a:t>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Color Scales</a:t>
          </a:r>
        </a:p>
        <a:p>
          <a:endParaRPr lang="en-IN" sz="1400" b="1"/>
        </a:p>
        <a:p>
          <a:r>
            <a:rPr lang="en-IN" sz="1400" b="1"/>
            <a:t>9. Highlight values in Quantity between 5 and 8.</a:t>
          </a:r>
        </a:p>
        <a:p>
          <a:r>
            <a:rPr lang="en-IN" sz="1400" b="1"/>
            <a:t>   Select Range F2 to F41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Between → 5 and 8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Dark Blue Fill </a:t>
          </a:r>
          <a:endParaRPr lang="en-IN" sz="1800" b="1"/>
        </a:p>
        <a:p>
          <a:endParaRPr lang="en-IN" sz="1400" b="1"/>
        </a:p>
        <a:p>
          <a:r>
            <a:rPr lang="en-IN" sz="1400" b="1"/>
            <a:t>10. Highlight cells where Category = "Electronics".</a:t>
          </a:r>
        </a:p>
        <a:p>
          <a:r>
            <a:rPr lang="en-IN" sz="1400" b="1"/>
            <a:t>    Select Range D2 to D41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Equal To → Electronics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Red with 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Text Fill </a:t>
          </a:r>
          <a:endParaRPr lang="en-IN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13367</xdr:colOff>
      <xdr:row>1</xdr:row>
      <xdr:rowOff>40822</xdr:rowOff>
    </xdr:from>
    <xdr:ext cx="14587097" cy="86133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BE71C1-77C8-278D-0D62-85B9A0ED66FF}"/>
            </a:ext>
          </a:extLst>
        </xdr:cNvPr>
        <xdr:cNvSpPr txBox="1"/>
      </xdr:nvSpPr>
      <xdr:spPr>
        <a:xfrm>
          <a:off x="9647224" y="244929"/>
          <a:ext cx="14587097" cy="8613321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62000">
              <a:schemeClr val="accent1">
                <a:lumMod val="45000"/>
                <a:lumOff val="55000"/>
              </a:schemeClr>
            </a:gs>
            <a:gs pos="48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Task_2 </a:t>
          </a:r>
        </a:p>
        <a:p>
          <a:r>
            <a:rPr lang="en-IN" sz="1400" b="1"/>
            <a:t>(You have to Select the whole dataset </a:t>
          </a:r>
        </a:p>
        <a:p>
          <a:r>
            <a:rPr lang="en-IN" sz="1400" b="1"/>
            <a:t>1. Highlight entire row where Total_Sales &gt; 400000.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=$H2&gt;400000→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color Text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1"/>
        </a:p>
        <a:p>
          <a:r>
            <a:rPr lang="en-IN" sz="1400" b="1"/>
            <a:t>2. Highlight rows where Region = "North".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=$C2="North"→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(Yellow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3. Apply formatting to rows where Quantity &lt; 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$F2&lt;3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4. Highlight rows where Product = "Mobile" AND Quantity &gt; 5.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=AND($E2="Mobile",$F2&gt;5)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Orange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5. Highlight entire row if Unit_Price &gt; 50000.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=$G2&gt;50000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6. Apply formatting to rows where Salesperson = "Amit".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=$I2="Amit"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Red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7. Highlight rows where Date is in last 30 days.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=$B2&gt;=TODAY()-30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8. Highlight rows where Total_Sales is maximum in dataset.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=$H2=MAX($H$2:$H$40)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(Dark Gey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9. Apply formatting if Category = "Accessories" AND Total_Sales &lt; 100000.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=AND($D2="Accessories",$H2&lt;100000)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10. Highlight rows where Quantity * Unit_Price ≠ Total_Sales.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=($F2*$G2)&lt;&gt;$H2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BDDC-F54D-4151-8E44-7580A7BE9C72}">
  <sheetPr>
    <outlinePr summaryBelow="0" summaryRight="0"/>
  </sheetPr>
  <dimension ref="A1:I43"/>
  <sheetViews>
    <sheetView topLeftCell="J1" zoomScale="47" zoomScaleNormal="80" workbookViewId="0">
      <selection activeCell="J16" sqref="J16"/>
    </sheetView>
  </sheetViews>
  <sheetFormatPr defaultColWidth="12.54296875" defaultRowHeight="15.75" customHeight="1" x14ac:dyDescent="0.25"/>
  <cols>
    <col min="1" max="1" width="16.26953125" customWidth="1"/>
    <col min="2" max="2" width="22.54296875" customWidth="1"/>
    <col min="9" max="9" width="16.81640625" customWidth="1"/>
  </cols>
  <sheetData>
    <row r="1" spans="1:9" ht="15.75" customHeight="1" x14ac:dyDescent="0.35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 x14ac:dyDescent="0.35">
      <c r="A2" s="2" t="s">
        <v>22</v>
      </c>
      <c r="B2" s="4">
        <v>46147.428668981483</v>
      </c>
      <c r="C2" s="19" t="s">
        <v>8</v>
      </c>
      <c r="D2" s="2" t="s">
        <v>23</v>
      </c>
      <c r="E2" s="18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 x14ac:dyDescent="0.35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 x14ac:dyDescent="0.35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 x14ac:dyDescent="0.35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 x14ac:dyDescent="0.35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 x14ac:dyDescent="0.35">
      <c r="A7" s="2" t="s">
        <v>36</v>
      </c>
      <c r="B7" s="4">
        <v>46109.428668981483</v>
      </c>
      <c r="C7" s="2" t="s">
        <v>7</v>
      </c>
      <c r="D7" s="2" t="s">
        <v>27</v>
      </c>
      <c r="E7" s="18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 x14ac:dyDescent="0.35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 x14ac:dyDescent="0.35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 x14ac:dyDescent="0.35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 x14ac:dyDescent="0.35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 x14ac:dyDescent="0.35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 x14ac:dyDescent="0.35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 x14ac:dyDescent="0.35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 x14ac:dyDescent="0.35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 x14ac:dyDescent="0.35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 x14ac:dyDescent="0.35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 x14ac:dyDescent="0.35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 x14ac:dyDescent="0.35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 x14ac:dyDescent="0.35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 x14ac:dyDescent="0.35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 x14ac:dyDescent="0.35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 x14ac:dyDescent="0.35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4.5" x14ac:dyDescent="0.3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4.5" x14ac:dyDescent="0.3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4.5" x14ac:dyDescent="0.3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4.5" x14ac:dyDescent="0.3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4.5" x14ac:dyDescent="0.3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4.5" x14ac:dyDescent="0.3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4.5" x14ac:dyDescent="0.3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4.5" x14ac:dyDescent="0.3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4.5" x14ac:dyDescent="0.3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4.5" x14ac:dyDescent="0.3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4.5" x14ac:dyDescent="0.3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4.5" x14ac:dyDescent="0.3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4.5" x14ac:dyDescent="0.3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4.5" x14ac:dyDescent="0.3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4.5" x14ac:dyDescent="0.3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4.5" x14ac:dyDescent="0.3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4.5" x14ac:dyDescent="0.3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4.5" x14ac:dyDescent="0.3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 x14ac:dyDescent="0.35">
      <c r="E43" s="18" t="s">
        <v>122</v>
      </c>
      <c r="F43">
        <f>AVERAGE(F2:F41)</f>
        <v>5.15</v>
      </c>
    </row>
  </sheetData>
  <conditionalFormatting sqref="A2:A41">
    <cfRule type="duplicateValues" dxfId="32" priority="12"/>
  </conditionalFormatting>
  <conditionalFormatting sqref="D2:D41">
    <cfRule type="cellIs" dxfId="31" priority="1" operator="equal">
      <formula>"Electronics"</formula>
    </cfRule>
  </conditionalFormatting>
  <conditionalFormatting sqref="E2:E41">
    <cfRule type="expression" dxfId="30" priority="5">
      <formula>$E2="Laptop"</formula>
    </cfRule>
  </conditionalFormatting>
  <conditionalFormatting sqref="F2:F41">
    <cfRule type="cellIs" dxfId="29" priority="34" operator="between">
      <formula>5</formula>
      <formula>8</formula>
    </cfRule>
    <cfRule type="expression" dxfId="28" priority="35">
      <formula>$F2&gt;$F$43</formula>
    </cfRule>
  </conditionalFormatting>
  <conditionalFormatting sqref="G2:G41">
    <cfRule type="cellIs" dxfId="27" priority="14" operator="lessThan">
      <formula>10000</formula>
    </cfRule>
  </conditionalFormatting>
  <conditionalFormatting sqref="H2:H4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top10" dxfId="26" priority="4" rank="10"/>
    <cfRule type="cellIs" dxfId="25" priority="15" operator="greaterThan">
      <formula>500000</formula>
    </cfRule>
  </conditionalFormatting>
  <conditionalFormatting sqref="I2:I41">
    <cfRule type="containsBlanks" dxfId="24" priority="9">
      <formula>LEN(TRIM(I2))=0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3"/>
  <sheetViews>
    <sheetView topLeftCell="G1" zoomScale="70" zoomScaleNormal="70" workbookViewId="0">
      <selection activeCell="AC26" sqref="AC26"/>
    </sheetView>
  </sheetViews>
  <sheetFormatPr defaultColWidth="12.54296875" defaultRowHeight="15.75" customHeight="1" x14ac:dyDescent="0.25"/>
  <cols>
    <col min="1" max="1" width="16.26953125" customWidth="1"/>
    <col min="2" max="2" width="22.54296875" customWidth="1"/>
    <col min="9" max="9" width="16.81640625" customWidth="1"/>
  </cols>
  <sheetData>
    <row r="1" spans="1:9" ht="15.75" customHeight="1" x14ac:dyDescent="0.35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 x14ac:dyDescent="0.35">
      <c r="A2" s="18" t="s">
        <v>22</v>
      </c>
      <c r="B2" s="4">
        <v>46147.428668981483</v>
      </c>
      <c r="C2" s="2" t="s">
        <v>8</v>
      </c>
      <c r="D2" s="2" t="s">
        <v>23</v>
      </c>
      <c r="E2" s="2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 x14ac:dyDescent="0.35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 x14ac:dyDescent="0.35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 x14ac:dyDescent="0.35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 x14ac:dyDescent="0.35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 x14ac:dyDescent="0.35">
      <c r="A7" s="2" t="s">
        <v>36</v>
      </c>
      <c r="B7" s="4">
        <v>46109.428668981483</v>
      </c>
      <c r="C7" s="2" t="s">
        <v>7</v>
      </c>
      <c r="D7" s="2" t="s">
        <v>27</v>
      </c>
      <c r="E7" s="2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 x14ac:dyDescent="0.35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 x14ac:dyDescent="0.35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 x14ac:dyDescent="0.35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 x14ac:dyDescent="0.35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 x14ac:dyDescent="0.35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 x14ac:dyDescent="0.35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 x14ac:dyDescent="0.35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 x14ac:dyDescent="0.35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 x14ac:dyDescent="0.35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 x14ac:dyDescent="0.35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 x14ac:dyDescent="0.35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 x14ac:dyDescent="0.35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 x14ac:dyDescent="0.35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 x14ac:dyDescent="0.35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 x14ac:dyDescent="0.35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 x14ac:dyDescent="0.35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4.5" x14ac:dyDescent="0.3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4.5" x14ac:dyDescent="0.3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4.5" x14ac:dyDescent="0.3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4.5" x14ac:dyDescent="0.3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4.5" x14ac:dyDescent="0.3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4.5" x14ac:dyDescent="0.3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4.5" x14ac:dyDescent="0.3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4.5" x14ac:dyDescent="0.3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4.5" x14ac:dyDescent="0.3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4.5" x14ac:dyDescent="0.3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4.5" x14ac:dyDescent="0.3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4.5" x14ac:dyDescent="0.3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4.5" x14ac:dyDescent="0.3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4.5" x14ac:dyDescent="0.3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4.5" x14ac:dyDescent="0.3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4.5" x14ac:dyDescent="0.3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4.5" x14ac:dyDescent="0.3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4.5" x14ac:dyDescent="0.3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 x14ac:dyDescent="0.25">
      <c r="H43">
        <f>MAX(H2:H41)</f>
        <v>600000</v>
      </c>
    </row>
  </sheetData>
  <phoneticPr fontId="9" type="noConversion"/>
  <conditionalFormatting sqref="A2:I41">
    <cfRule type="expression" dxfId="23" priority="1">
      <formula>ROUND($F2*$G2,0)&lt;&gt;ROUND($H2,0)</formula>
    </cfRule>
    <cfRule type="expression" dxfId="22" priority="2">
      <formula>$F2*$G2&lt;&gt;$H2</formula>
    </cfRule>
    <cfRule type="expression" dxfId="21" priority="3">
      <formula>$F2*$G2&lt;&gt;$H2</formula>
    </cfRule>
    <cfRule type="expression" dxfId="20" priority="4">
      <formula>AND($D2="Accessories",$H2&lt;100000)</formula>
    </cfRule>
    <cfRule type="expression" dxfId="19" priority="5">
      <formula>$H2=MAX($H$2:$H$41)</formula>
    </cfRule>
    <cfRule type="expression" dxfId="18" priority="6">
      <formula>AND($B2&gt;=TODAY()-30,$B2&lt;=TODAY())</formula>
    </cfRule>
    <cfRule type="expression" dxfId="17" priority="7">
      <formula>$I2="Amit"</formula>
    </cfRule>
    <cfRule type="expression" dxfId="16" priority="8">
      <formula>$G2&gt;50000</formula>
    </cfRule>
    <cfRule type="expression" dxfId="15" priority="9">
      <formula>AND($E2="Mobile",$F2&gt;5)</formula>
    </cfRule>
    <cfRule type="expression" dxfId="14" priority="10">
      <formula>$F2&lt;3</formula>
    </cfRule>
    <cfRule type="expression" dxfId="13" priority="11">
      <formula>$C2="North"</formula>
    </cfRule>
    <cfRule type="expression" dxfId="12" priority="12">
      <formula>$H2&gt;400000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zoomScale="61" workbookViewId="0">
      <selection activeCell="I18" sqref="I18"/>
    </sheetView>
  </sheetViews>
  <sheetFormatPr defaultColWidth="12.54296875" defaultRowHeight="15.75" customHeight="1" x14ac:dyDescent="0.25"/>
  <cols>
    <col min="3" max="3" width="24.81640625" customWidth="1"/>
    <col min="4" max="4" width="18.453125" customWidth="1"/>
    <col min="5" max="5" width="28.54296875" customWidth="1"/>
  </cols>
  <sheetData>
    <row r="1" spans="1:7" ht="15.75" customHeight="1" x14ac:dyDescent="0.3">
      <c r="A1" s="5" t="s">
        <v>71</v>
      </c>
      <c r="B1" s="6" t="s">
        <v>72</v>
      </c>
      <c r="C1" s="7" t="s">
        <v>73</v>
      </c>
      <c r="D1" s="8" t="s">
        <v>74</v>
      </c>
      <c r="E1" s="8" t="s">
        <v>75</v>
      </c>
      <c r="F1" s="8" t="s">
        <v>76</v>
      </c>
      <c r="G1" s="8" t="s">
        <v>77</v>
      </c>
    </row>
    <row r="2" spans="1:7" ht="14.5" x14ac:dyDescent="0.35">
      <c r="A2" s="9">
        <v>1</v>
      </c>
      <c r="B2" s="10" t="s">
        <v>78</v>
      </c>
      <c r="C2" s="11" t="s">
        <v>79</v>
      </c>
      <c r="D2" s="12" t="s">
        <v>80</v>
      </c>
      <c r="E2" s="12">
        <v>34</v>
      </c>
      <c r="F2" s="12">
        <v>170</v>
      </c>
      <c r="G2" s="12">
        <v>80</v>
      </c>
    </row>
    <row r="3" spans="1:7" ht="14.5" x14ac:dyDescent="0.35">
      <c r="A3" s="9">
        <v>2</v>
      </c>
      <c r="B3" s="10" t="s">
        <v>81</v>
      </c>
      <c r="C3" s="11" t="s">
        <v>82</v>
      </c>
      <c r="D3" s="12" t="s">
        <v>80</v>
      </c>
      <c r="E3" s="12">
        <v>23</v>
      </c>
      <c r="F3" s="12">
        <v>171</v>
      </c>
      <c r="G3" s="12">
        <v>62</v>
      </c>
    </row>
    <row r="4" spans="1:7" ht="14.5" x14ac:dyDescent="0.35">
      <c r="A4" s="9">
        <v>3</v>
      </c>
      <c r="B4" s="10" t="s">
        <v>83</v>
      </c>
      <c r="C4" s="11" t="s">
        <v>84</v>
      </c>
      <c r="D4" s="12" t="s">
        <v>85</v>
      </c>
      <c r="E4" s="12">
        <v>25</v>
      </c>
      <c r="F4" s="12">
        <v>174</v>
      </c>
      <c r="G4" s="12">
        <v>74</v>
      </c>
    </row>
    <row r="5" spans="1:7" ht="14.5" x14ac:dyDescent="0.35">
      <c r="A5" s="9">
        <v>4</v>
      </c>
      <c r="B5" s="10" t="s">
        <v>86</v>
      </c>
      <c r="C5" s="11" t="s">
        <v>87</v>
      </c>
      <c r="D5" s="12" t="s">
        <v>85</v>
      </c>
      <c r="E5" s="12">
        <v>21</v>
      </c>
      <c r="F5" s="12">
        <v>173</v>
      </c>
      <c r="G5" s="12">
        <v>73</v>
      </c>
    </row>
    <row r="6" spans="1:7" ht="14.5" x14ac:dyDescent="0.35">
      <c r="A6" s="9">
        <v>5</v>
      </c>
      <c r="B6" s="10" t="s">
        <v>88</v>
      </c>
      <c r="C6" s="11" t="s">
        <v>89</v>
      </c>
      <c r="D6" s="12" t="s">
        <v>85</v>
      </c>
      <c r="E6" s="12">
        <v>20</v>
      </c>
      <c r="F6" s="12">
        <v>178</v>
      </c>
      <c r="G6" s="12">
        <v>78</v>
      </c>
    </row>
    <row r="7" spans="1:7" ht="14.5" x14ac:dyDescent="0.35">
      <c r="A7" s="9">
        <v>6</v>
      </c>
      <c r="B7" s="10" t="s">
        <v>90</v>
      </c>
      <c r="C7" s="11" t="s">
        <v>91</v>
      </c>
      <c r="D7" s="12" t="s">
        <v>80</v>
      </c>
      <c r="E7" s="13"/>
      <c r="F7" s="12">
        <v>170</v>
      </c>
      <c r="G7" s="12">
        <v>78</v>
      </c>
    </row>
    <row r="8" spans="1:7" ht="14.5" x14ac:dyDescent="0.35">
      <c r="A8" s="9">
        <v>7</v>
      </c>
      <c r="B8" s="10" t="s">
        <v>92</v>
      </c>
      <c r="C8" s="11" t="s">
        <v>93</v>
      </c>
      <c r="D8" s="12" t="s">
        <v>85</v>
      </c>
      <c r="E8" s="13"/>
      <c r="F8" s="12">
        <v>171</v>
      </c>
      <c r="G8" s="12">
        <v>71</v>
      </c>
    </row>
    <row r="9" spans="1:7" ht="14.5" x14ac:dyDescent="0.35">
      <c r="A9" s="9">
        <v>8</v>
      </c>
      <c r="B9" s="10" t="s">
        <v>94</v>
      </c>
      <c r="C9" s="11" t="s">
        <v>95</v>
      </c>
      <c r="D9" s="12" t="s">
        <v>85</v>
      </c>
      <c r="E9" s="12">
        <v>22</v>
      </c>
      <c r="F9" s="12">
        <v>174</v>
      </c>
      <c r="G9" s="12">
        <v>73</v>
      </c>
    </row>
    <row r="10" spans="1:7" ht="14.5" x14ac:dyDescent="0.35">
      <c r="A10" s="9">
        <v>9</v>
      </c>
      <c r="B10" s="10" t="s">
        <v>96</v>
      </c>
      <c r="C10" s="11" t="s">
        <v>97</v>
      </c>
      <c r="D10" s="12" t="s">
        <v>80</v>
      </c>
      <c r="E10" s="12">
        <v>10</v>
      </c>
      <c r="F10" s="12">
        <v>173</v>
      </c>
      <c r="G10" s="12">
        <v>74</v>
      </c>
    </row>
    <row r="11" spans="1:7" ht="14.5" x14ac:dyDescent="0.35">
      <c r="A11" s="14">
        <v>10</v>
      </c>
      <c r="B11" s="15" t="s">
        <v>98</v>
      </c>
      <c r="C11" s="16" t="s">
        <v>99</v>
      </c>
      <c r="D11" s="12" t="s">
        <v>85</v>
      </c>
      <c r="E11" s="12">
        <v>27</v>
      </c>
      <c r="F11" s="12">
        <v>178</v>
      </c>
      <c r="G11" s="12">
        <v>75</v>
      </c>
    </row>
    <row r="13" spans="1:7" ht="15.75" customHeight="1" x14ac:dyDescent="0.25">
      <c r="D13" s="30" t="s">
        <v>121</v>
      </c>
      <c r="E13" s="28">
        <f>SUM(E2:E11)</f>
        <v>182</v>
      </c>
      <c r="F13" s="28">
        <f>SUM(F6:F11)</f>
        <v>1044</v>
      </c>
      <c r="G13" s="27">
        <v>34</v>
      </c>
    </row>
    <row r="14" spans="1:7" ht="15.75" customHeight="1" x14ac:dyDescent="0.25">
      <c r="D14" s="30" t="s">
        <v>100</v>
      </c>
      <c r="E14" s="28">
        <f>SUMIF(E2:E11,"&gt;20")</f>
        <v>152</v>
      </c>
      <c r="F14" s="28"/>
      <c r="G14" s="28"/>
    </row>
    <row r="15" spans="1:7" ht="15.75" customHeight="1" x14ac:dyDescent="0.25">
      <c r="D15" s="30" t="s">
        <v>101</v>
      </c>
      <c r="E15" s="28">
        <f>MIN(E2:F11)</f>
        <v>10</v>
      </c>
      <c r="F15" s="28"/>
      <c r="G15" s="28"/>
    </row>
    <row r="16" spans="1:7" ht="15.75" customHeight="1" x14ac:dyDescent="0.25">
      <c r="D16" s="30" t="s">
        <v>102</v>
      </c>
      <c r="E16" s="28">
        <f>MAX(E2:E11)</f>
        <v>34</v>
      </c>
      <c r="F16" s="28"/>
      <c r="G16" s="28"/>
    </row>
    <row r="17" spans="4:7" ht="15.75" customHeight="1" x14ac:dyDescent="0.25">
      <c r="D17" s="30" t="s">
        <v>103</v>
      </c>
      <c r="E17" s="28">
        <f>AVERAGE(E2:E11)</f>
        <v>22.75</v>
      </c>
      <c r="F17" s="28"/>
      <c r="G17" s="28"/>
    </row>
    <row r="18" spans="4:7" ht="15.75" customHeight="1" x14ac:dyDescent="0.25">
      <c r="D18" s="30" t="s">
        <v>104</v>
      </c>
      <c r="E18" s="28">
        <f>COUNT(E2:E11)</f>
        <v>8</v>
      </c>
      <c r="F18" s="28"/>
      <c r="G18" s="28"/>
    </row>
    <row r="19" spans="4:7" ht="15.75" customHeight="1" x14ac:dyDescent="0.25">
      <c r="D19" s="30" t="s">
        <v>105</v>
      </c>
      <c r="E19" s="28">
        <f>COUNTBLANK(E2:E11)</f>
        <v>2</v>
      </c>
      <c r="F19" s="28"/>
      <c r="G19" s="28"/>
    </row>
    <row r="20" spans="4:7" ht="15.75" customHeight="1" x14ac:dyDescent="0.25">
      <c r="D20" s="30" t="s">
        <v>106</v>
      </c>
      <c r="E20" s="28">
        <f>POWER(G13,2)</f>
        <v>1156</v>
      </c>
      <c r="F20" s="28"/>
      <c r="G20" s="28"/>
    </row>
    <row r="21" spans="4:7" ht="15.75" customHeight="1" x14ac:dyDescent="0.25">
      <c r="D21" s="30" t="s">
        <v>107</v>
      </c>
      <c r="E21" s="28" t="str">
        <f>CONCATENATE(B11,C11)</f>
        <v>AF0415249Gaurav Yadav</v>
      </c>
      <c r="F21" s="28"/>
      <c r="G21" s="28" t="str">
        <f>TRIM(G13)</f>
        <v>34</v>
      </c>
    </row>
    <row r="22" spans="4:7" ht="15.75" customHeight="1" x14ac:dyDescent="0.25">
      <c r="D22" s="30" t="s">
        <v>108</v>
      </c>
      <c r="E22" s="28" t="str">
        <f>TRIM(C11)</f>
        <v>Gaurav Yadav</v>
      </c>
      <c r="F22" s="28"/>
      <c r="G22" s="28"/>
    </row>
    <row r="23" spans="4:7" ht="15.75" customHeight="1" x14ac:dyDescent="0.25">
      <c r="D23" s="30" t="s">
        <v>109</v>
      </c>
      <c r="E23" s="28" t="str">
        <f>REPLACE(C11,1,6, "Arnav")</f>
        <v>Arnav Yadav</v>
      </c>
      <c r="F23" s="28"/>
      <c r="G23" s="28"/>
    </row>
    <row r="24" spans="4:7" ht="15.75" customHeight="1" x14ac:dyDescent="0.25">
      <c r="D24" s="30" t="s">
        <v>110</v>
      </c>
      <c r="E24" s="28" t="str">
        <f>LEFT(C10,4)</f>
        <v>Sona</v>
      </c>
      <c r="F24" s="28"/>
      <c r="G24" s="28"/>
    </row>
    <row r="25" spans="4:7" ht="15.75" customHeight="1" x14ac:dyDescent="0.25">
      <c r="D25" s="30" t="s">
        <v>111</v>
      </c>
      <c r="E25" s="28" t="str">
        <f>MID(C10,8,9)</f>
        <v>Raghunath</v>
      </c>
      <c r="F25" s="28"/>
      <c r="G25" s="28"/>
    </row>
    <row r="26" spans="4:7" ht="15.75" customHeight="1" x14ac:dyDescent="0.25">
      <c r="D26" s="30" t="s">
        <v>112</v>
      </c>
      <c r="E26" s="28" t="str">
        <f>RIGHT(C10,5)</f>
        <v>Thule</v>
      </c>
      <c r="F26" s="28"/>
      <c r="G26" s="28"/>
    </row>
    <row r="27" spans="4:7" ht="15.75" customHeight="1" x14ac:dyDescent="0.25">
      <c r="D27" s="30" t="s">
        <v>113</v>
      </c>
      <c r="E27" s="28" t="str">
        <f>UPPER(C10)</f>
        <v>SONALI RAGHUNATH THULE</v>
      </c>
      <c r="F27" s="28"/>
      <c r="G27" s="28"/>
    </row>
    <row r="28" spans="4:7" ht="15.75" customHeight="1" x14ac:dyDescent="0.25">
      <c r="D28" s="30" t="s">
        <v>114</v>
      </c>
      <c r="E28" s="28" t="str">
        <f>LOWER(C8)</f>
        <v>tejas shivaji belote</v>
      </c>
      <c r="F28" s="28"/>
      <c r="G28" s="28"/>
    </row>
    <row r="29" spans="4:7" ht="15.75" customHeight="1" x14ac:dyDescent="0.25">
      <c r="D29" s="30" t="s">
        <v>115</v>
      </c>
      <c r="E29" s="29">
        <f ca="1">NOW()</f>
        <v>46157.84137800926</v>
      </c>
      <c r="F29" s="28"/>
      <c r="G29" s="28"/>
    </row>
    <row r="30" spans="4:7" ht="15.75" customHeight="1" x14ac:dyDescent="0.25">
      <c r="D30" s="30" t="s">
        <v>116</v>
      </c>
      <c r="E30" s="28">
        <f ca="1">SECOND(NOW())</f>
        <v>35</v>
      </c>
      <c r="F30" s="28"/>
      <c r="G30" s="28"/>
    </row>
    <row r="31" spans="4:7" ht="15.75" customHeight="1" x14ac:dyDescent="0.25">
      <c r="D31" s="30" t="s">
        <v>117</v>
      </c>
      <c r="E31" s="28">
        <f ca="1">DAY(TODAY())</f>
        <v>15</v>
      </c>
      <c r="F31" s="28"/>
      <c r="G31" s="28"/>
    </row>
    <row r="32" spans="4:7" ht="15.75" customHeight="1" x14ac:dyDescent="0.25">
      <c r="D32" s="30" t="s">
        <v>118</v>
      </c>
      <c r="E32" s="28">
        <f ca="1">MONTH(TODAY())</f>
        <v>5</v>
      </c>
      <c r="F32" s="28"/>
      <c r="G32" s="28"/>
    </row>
    <row r="33" spans="4:7" ht="15.75" customHeight="1" x14ac:dyDescent="0.25">
      <c r="D33" s="30" t="s">
        <v>119</v>
      </c>
      <c r="E33" s="28">
        <f ca="1">YEAR(TODAY())</f>
        <v>2026</v>
      </c>
      <c r="F33" s="28"/>
      <c r="G33" s="28"/>
    </row>
    <row r="34" spans="4:7" ht="15.75" customHeight="1" x14ac:dyDescent="0.25">
      <c r="D34" s="30" t="s">
        <v>120</v>
      </c>
      <c r="E34" s="28" t="str">
        <f>IF(E10&gt;18,"Eligible","not eligible")</f>
        <v>not eligible</v>
      </c>
      <c r="F34" s="28"/>
      <c r="G34" s="28"/>
    </row>
  </sheetData>
  <hyperlinks>
    <hyperlink ref="A1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0E32-FAEC-40AC-BDE7-45BDE20DF972}">
  <dimension ref="A1:J26"/>
  <sheetViews>
    <sheetView tabSelected="1" topLeftCell="A4" workbookViewId="0">
      <selection activeCell="K26" sqref="K26"/>
    </sheetView>
  </sheetViews>
  <sheetFormatPr defaultColWidth="12.54296875" defaultRowHeight="12.5" x14ac:dyDescent="0.25"/>
  <sheetData>
    <row r="1" spans="1:10" ht="14.5" x14ac:dyDescent="0.35">
      <c r="A1" s="20" t="s">
        <v>0</v>
      </c>
      <c r="B1" s="20" t="s">
        <v>1</v>
      </c>
      <c r="C1" s="20" t="s">
        <v>2</v>
      </c>
      <c r="D1" s="20" t="s">
        <v>3</v>
      </c>
      <c r="E1" s="17"/>
      <c r="F1" s="17"/>
      <c r="G1" s="17"/>
      <c r="H1" s="17"/>
      <c r="I1" s="17"/>
    </row>
    <row r="2" spans="1:10" ht="14.5" x14ac:dyDescent="0.35">
      <c r="A2" s="21" t="s">
        <v>4</v>
      </c>
      <c r="B2" s="21" t="s">
        <v>5</v>
      </c>
      <c r="C2" s="22">
        <v>45292</v>
      </c>
      <c r="D2" s="21">
        <v>120</v>
      </c>
      <c r="E2" s="17"/>
      <c r="F2" s="17"/>
      <c r="G2" s="17"/>
      <c r="H2" s="17"/>
      <c r="I2" s="17"/>
    </row>
    <row r="3" spans="1:10" ht="14.5" x14ac:dyDescent="0.35">
      <c r="A3" s="21" t="s">
        <v>6</v>
      </c>
      <c r="B3" s="21" t="s">
        <v>7</v>
      </c>
      <c r="C3" s="22">
        <v>45323</v>
      </c>
      <c r="D3" s="21">
        <v>150</v>
      </c>
      <c r="E3" s="17"/>
      <c r="F3" s="17"/>
      <c r="G3" s="17"/>
      <c r="H3" s="17"/>
      <c r="I3" s="17"/>
    </row>
    <row r="4" spans="1:10" ht="14.5" x14ac:dyDescent="0.35">
      <c r="A4" s="21" t="s">
        <v>4</v>
      </c>
      <c r="B4" s="21" t="s">
        <v>8</v>
      </c>
      <c r="C4" s="22">
        <v>45352</v>
      </c>
      <c r="D4" s="21">
        <v>200</v>
      </c>
      <c r="E4" s="17"/>
      <c r="F4" s="17"/>
      <c r="G4" s="17"/>
      <c r="H4" s="17"/>
      <c r="I4" s="17"/>
    </row>
    <row r="5" spans="1:10" ht="14.5" x14ac:dyDescent="0.35">
      <c r="A5" s="21" t="s">
        <v>9</v>
      </c>
      <c r="B5" s="21" t="s">
        <v>10</v>
      </c>
      <c r="C5" s="22">
        <v>45383</v>
      </c>
      <c r="D5" s="21">
        <v>90</v>
      </c>
      <c r="E5" s="17"/>
      <c r="F5" s="17"/>
      <c r="G5" s="17"/>
      <c r="H5" s="17"/>
      <c r="I5" s="17"/>
    </row>
    <row r="6" spans="1:10" ht="14.5" x14ac:dyDescent="0.35">
      <c r="A6" s="21" t="s">
        <v>6</v>
      </c>
      <c r="B6" s="21" t="s">
        <v>5</v>
      </c>
      <c r="C6" s="22">
        <v>45413</v>
      </c>
      <c r="D6" s="21">
        <v>220</v>
      </c>
      <c r="E6" s="17"/>
      <c r="F6" s="17"/>
      <c r="G6" s="17"/>
      <c r="H6" s="17"/>
      <c r="I6" s="17"/>
    </row>
    <row r="7" spans="1:10" ht="14.5" x14ac:dyDescent="0.35">
      <c r="A7" s="21" t="s">
        <v>4</v>
      </c>
      <c r="B7" s="21" t="s">
        <v>7</v>
      </c>
      <c r="C7" s="22">
        <v>45444</v>
      </c>
      <c r="D7" s="21">
        <v>130</v>
      </c>
      <c r="E7" s="17"/>
      <c r="F7" s="17"/>
      <c r="G7" s="17"/>
      <c r="H7" s="17"/>
      <c r="I7" s="17"/>
    </row>
    <row r="8" spans="1:10" ht="14.5" x14ac:dyDescent="0.35">
      <c r="A8" s="21" t="s">
        <v>9</v>
      </c>
      <c r="B8" s="21" t="s">
        <v>5</v>
      </c>
      <c r="C8" s="22">
        <v>45474</v>
      </c>
      <c r="D8" s="21">
        <v>300</v>
      </c>
      <c r="E8" s="17"/>
      <c r="F8" s="17"/>
      <c r="G8" s="17"/>
      <c r="H8" s="17"/>
      <c r="I8" s="17"/>
    </row>
    <row r="9" spans="1:10" ht="14.5" x14ac:dyDescent="0.35">
      <c r="A9" s="21" t="s">
        <v>6</v>
      </c>
      <c r="B9" s="21" t="s">
        <v>8</v>
      </c>
      <c r="C9" s="22">
        <v>45505</v>
      </c>
      <c r="D9" s="21">
        <v>80</v>
      </c>
      <c r="E9" s="17"/>
      <c r="F9" s="17"/>
      <c r="G9" s="17"/>
      <c r="H9" s="17"/>
      <c r="I9" s="17"/>
    </row>
    <row r="10" spans="1:10" ht="14.5" x14ac:dyDescent="0.35">
      <c r="A10" s="1"/>
      <c r="B10" s="1"/>
      <c r="C10" s="1"/>
      <c r="D10" s="1"/>
      <c r="E10" s="17"/>
      <c r="F10" s="17"/>
      <c r="G10" s="17"/>
      <c r="H10" s="17"/>
      <c r="I10" s="17"/>
    </row>
    <row r="11" spans="1:10" ht="14.5" x14ac:dyDescent="0.35">
      <c r="A11" s="2"/>
      <c r="B11" s="17"/>
      <c r="C11" s="17"/>
      <c r="D11" s="17"/>
      <c r="E11" s="17"/>
      <c r="F11" s="17"/>
      <c r="G11" s="17"/>
      <c r="H11" s="17"/>
      <c r="I11" s="17"/>
    </row>
    <row r="12" spans="1:10" ht="14.5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14.5" x14ac:dyDescent="0.35">
      <c r="A13" s="35" t="s">
        <v>11</v>
      </c>
      <c r="B13" s="36"/>
      <c r="C13" s="36"/>
      <c r="D13" s="36"/>
      <c r="E13" s="36"/>
      <c r="F13" s="36"/>
      <c r="G13" s="36"/>
      <c r="H13" s="36"/>
      <c r="I13" s="36"/>
      <c r="J13" s="17"/>
    </row>
    <row r="14" spans="1:10" ht="60.75" customHeight="1" x14ac:dyDescent="0.35">
      <c r="A14" s="31" t="s">
        <v>123</v>
      </c>
      <c r="B14" s="31"/>
      <c r="C14" s="31"/>
      <c r="D14" s="31"/>
      <c r="E14" s="31"/>
      <c r="F14" s="31"/>
      <c r="G14" s="31"/>
      <c r="H14" s="31"/>
      <c r="I14" s="31"/>
      <c r="J14" s="17"/>
    </row>
    <row r="15" spans="1:10" ht="14.5" x14ac:dyDescent="0.35">
      <c r="A15" s="23"/>
      <c r="B15" s="23"/>
      <c r="C15" s="23"/>
      <c r="D15" s="23"/>
      <c r="E15" s="23"/>
      <c r="F15" s="23"/>
      <c r="G15" s="23"/>
      <c r="H15" s="23"/>
      <c r="J15" s="17"/>
    </row>
    <row r="16" spans="1:10" ht="14.5" x14ac:dyDescent="0.35">
      <c r="A16" s="32" t="s">
        <v>12</v>
      </c>
      <c r="B16" s="32"/>
      <c r="C16" s="32"/>
      <c r="D16" s="32"/>
      <c r="E16" s="32"/>
      <c r="F16" s="32"/>
      <c r="G16" s="32"/>
      <c r="H16" s="32"/>
      <c r="I16" s="32"/>
      <c r="J16" s="17"/>
    </row>
    <row r="17" spans="1:10" ht="79.5" customHeight="1" x14ac:dyDescent="0.35">
      <c r="A17" s="34" t="s">
        <v>127</v>
      </c>
      <c r="B17" s="34"/>
      <c r="C17" s="34"/>
      <c r="D17" s="34"/>
      <c r="E17" s="34"/>
      <c r="F17" s="34"/>
      <c r="G17" s="34"/>
      <c r="H17" s="34"/>
      <c r="I17" s="34"/>
      <c r="J17" s="17"/>
    </row>
    <row r="18" spans="1:10" ht="14.5" x14ac:dyDescent="0.35">
      <c r="A18" s="24"/>
      <c r="B18" s="24"/>
      <c r="C18" s="24"/>
      <c r="D18" s="24"/>
      <c r="E18" s="24"/>
      <c r="F18" s="24"/>
      <c r="G18" s="24"/>
      <c r="H18" s="24"/>
      <c r="I18" s="17"/>
      <c r="J18" s="17"/>
    </row>
    <row r="19" spans="1:10" ht="14.5" x14ac:dyDescent="0.35">
      <c r="A19" s="32" t="s">
        <v>13</v>
      </c>
      <c r="B19" s="32"/>
      <c r="C19" s="32"/>
      <c r="D19" s="32"/>
      <c r="E19" s="32"/>
      <c r="F19" s="32"/>
      <c r="G19" s="32"/>
      <c r="H19" s="32"/>
      <c r="I19" s="32"/>
      <c r="J19" s="17"/>
    </row>
    <row r="20" spans="1:10" ht="95.25" customHeight="1" x14ac:dyDescent="0.35">
      <c r="A20" s="31" t="s">
        <v>124</v>
      </c>
      <c r="B20" s="31"/>
      <c r="C20" s="31"/>
      <c r="D20" s="31"/>
      <c r="E20" s="31"/>
      <c r="F20" s="31"/>
      <c r="G20" s="31"/>
      <c r="H20" s="31"/>
      <c r="I20" s="31"/>
      <c r="J20" s="17"/>
    </row>
    <row r="21" spans="1:10" ht="14.5" x14ac:dyDescent="0.35">
      <c r="A21" s="23"/>
      <c r="B21" s="25"/>
      <c r="C21" s="25"/>
      <c r="D21" s="25"/>
      <c r="E21" s="25"/>
      <c r="F21" s="25"/>
      <c r="G21" s="25"/>
      <c r="H21" s="25"/>
      <c r="I21" s="17"/>
      <c r="J21" s="17"/>
    </row>
    <row r="22" spans="1:10" ht="14.5" x14ac:dyDescent="0.35">
      <c r="A22" s="32" t="s">
        <v>14</v>
      </c>
      <c r="B22" s="32"/>
      <c r="C22" s="32"/>
      <c r="D22" s="32"/>
      <c r="E22" s="32"/>
      <c r="F22" s="32"/>
      <c r="G22" s="32"/>
      <c r="H22" s="32"/>
      <c r="I22" s="32"/>
      <c r="J22" s="17"/>
    </row>
    <row r="23" spans="1:10" ht="62.25" customHeight="1" x14ac:dyDescent="0.35">
      <c r="A23" s="31" t="s">
        <v>125</v>
      </c>
      <c r="B23" s="31"/>
      <c r="C23" s="31"/>
      <c r="D23" s="31"/>
      <c r="E23" s="31"/>
      <c r="F23" s="31"/>
      <c r="G23" s="31"/>
      <c r="H23" s="31"/>
      <c r="I23" s="31"/>
      <c r="J23" s="17"/>
    </row>
    <row r="24" spans="1:10" ht="14.5" x14ac:dyDescent="0.35">
      <c r="A24" s="23"/>
      <c r="B24" s="26"/>
      <c r="C24" s="26"/>
      <c r="D24" s="26"/>
      <c r="E24" s="26"/>
      <c r="F24" s="26"/>
      <c r="G24" s="26"/>
      <c r="H24" s="26"/>
      <c r="I24" s="17"/>
      <c r="J24" s="17"/>
    </row>
    <row r="25" spans="1:10" ht="14.5" x14ac:dyDescent="0.35">
      <c r="A25" s="32" t="s">
        <v>15</v>
      </c>
      <c r="B25" s="32"/>
      <c r="C25" s="32"/>
      <c r="D25" s="32"/>
      <c r="E25" s="32"/>
      <c r="F25" s="32"/>
      <c r="G25" s="32"/>
      <c r="H25" s="32"/>
      <c r="I25" s="32"/>
      <c r="J25" s="17"/>
    </row>
    <row r="26" spans="1:10" ht="75" customHeight="1" x14ac:dyDescent="0.25">
      <c r="A26" s="33" t="s">
        <v>126</v>
      </c>
      <c r="B26" s="33"/>
      <c r="C26" s="33"/>
      <c r="D26" s="33"/>
      <c r="E26" s="33"/>
      <c r="F26" s="33"/>
      <c r="G26" s="33"/>
      <c r="H26" s="33"/>
      <c r="I26" s="33"/>
    </row>
  </sheetData>
  <mergeCells count="10">
    <mergeCell ref="A13:I13"/>
    <mergeCell ref="A23:I23"/>
    <mergeCell ref="A25:I25"/>
    <mergeCell ref="A26:I26"/>
    <mergeCell ref="A14:I14"/>
    <mergeCell ref="A17:I17"/>
    <mergeCell ref="A16:I16"/>
    <mergeCell ref="A19:I19"/>
    <mergeCell ref="A20:I20"/>
    <mergeCell ref="A22:I22"/>
  </mergeCells>
  <conditionalFormatting sqref="A2:D9">
    <cfRule type="expression" dxfId="11" priority="5">
      <formula>$A2="Product A"</formula>
    </cfRule>
  </conditionalFormatting>
  <conditionalFormatting sqref="C2:C6">
    <cfRule type="expression" dxfId="10" priority="3">
      <formula>AND(C2&gt;=DATE(2024,1,1),C9&lt;=DATE(2024,1,31))</formula>
    </cfRule>
    <cfRule type="expression" dxfId="9" priority="4">
      <formula>AND(C2&lt;=DATE(2024,1,1),C9&gt;=DATE(2024,1,31))</formula>
    </cfRule>
  </conditionalFormatting>
  <conditionalFormatting sqref="C7">
    <cfRule type="expression" dxfId="8" priority="7">
      <formula>AND(C7&gt;=DATE(2024,1,1),C16&lt;=DATE(2024,1,31))</formula>
    </cfRule>
    <cfRule type="expression" dxfId="7" priority="8">
      <formula>AND(C7&lt;=DATE(2024,1,1),C16&gt;=DATE(2024,1,31))</formula>
    </cfRule>
  </conditionalFormatting>
  <conditionalFormatting sqref="C8">
    <cfRule type="expression" dxfId="6" priority="9">
      <formula>AND(C8&gt;=DATE(2024,1,1),C19&lt;=DATE(2024,1,31))</formula>
    </cfRule>
    <cfRule type="expression" dxfId="5" priority="10">
      <formula>AND(C8&lt;=DATE(2024,1,1),C19&gt;=DATE(2024,1,31))</formula>
    </cfRule>
  </conditionalFormatting>
  <conditionalFormatting sqref="C9">
    <cfRule type="expression" dxfId="4" priority="11">
      <formula>AND(C9&gt;=DATE(2024,1,1),C22&lt;=DATE(2024,1,31))</formula>
    </cfRule>
    <cfRule type="expression" dxfId="3" priority="12">
      <formula>AND(C9&lt;=DATE(2024,1,1),C22&gt;=DATE(2024,1,31))</formula>
    </cfRule>
  </conditionalFormatting>
  <conditionalFormatting sqref="D2:D9">
    <cfRule type="expression" dxfId="2" priority="1">
      <formula>AND($A2="Product B",$B2="North")</formula>
    </cfRule>
    <cfRule type="top10" dxfId="1" priority="2" rank="3"/>
    <cfRule type="cellIs" dxfId="0" priority="6" operator="greaterThan">
      <formula>149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Task_1</vt:lpstr>
      <vt:lpstr>Task_2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NIUM</cp:lastModifiedBy>
  <dcterms:created xsi:type="dcterms:W3CDTF">2026-05-14T08:07:49Z</dcterms:created>
  <dcterms:modified xsi:type="dcterms:W3CDTF">2026-05-15T14:42:10Z</dcterms:modified>
</cp:coreProperties>
</file>